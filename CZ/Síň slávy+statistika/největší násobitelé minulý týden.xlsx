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C7902C3-8971-46DF-A4D8-2DB5046B71B4}" xr6:coauthVersionLast="47" xr6:coauthVersionMax="47" xr10:uidLastSave="{00000000-0000-0000-0000-000000000000}"/>
  <bookViews>
    <workbookView xWindow="-108" yWindow="-108" windowWidth="23256" windowHeight="12456" tabRatio="212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1" l="1"/>
  <c r="F6" i="1"/>
  <c r="F7" i="1"/>
  <c r="F9" i="1"/>
  <c r="F2" i="1"/>
  <c r="F3" i="1"/>
  <c r="F10" i="1"/>
  <c r="F5" i="1"/>
  <c r="F8" i="1"/>
  <c r="F4" i="1"/>
</calcChain>
</file>

<file path=xl/sharedStrings.xml><?xml version="1.0" encoding="utf-8"?>
<sst xmlns="http://schemas.openxmlformats.org/spreadsheetml/2006/main" count="26" uniqueCount="26">
  <si>
    <t>BET</t>
  </si>
  <si>
    <t>WIN</t>
  </si>
  <si>
    <t>Čas spinu</t>
  </si>
  <si>
    <t>Hráč</t>
  </si>
  <si>
    <t>Hra</t>
  </si>
  <si>
    <t>online_Aztec Jaguar_CZK</t>
  </si>
  <si>
    <t>online_5 Stones_CZK</t>
  </si>
  <si>
    <t>online_Super Reels Deluxe_CZK</t>
  </si>
  <si>
    <t>online_Treasure Box 2_CZK</t>
  </si>
  <si>
    <t>online_Multi Vegas 81_CZK</t>
  </si>
  <si>
    <t>online_Joker´s Jewels_CZK</t>
  </si>
  <si>
    <t>online_Gates of Olympus_CZK</t>
  </si>
  <si>
    <t>online_Hawaiian Fever</t>
  </si>
  <si>
    <t>online_Monkey Slots_CZK</t>
  </si>
  <si>
    <t>online_Madame Destiny Megaways_CZK</t>
  </si>
  <si>
    <t>násobitch</t>
  </si>
  <si>
    <t>on***66</t>
  </si>
  <si>
    <t>Xi***oo</t>
  </si>
  <si>
    <t>De***05</t>
  </si>
  <si>
    <t>Ka***06</t>
  </si>
  <si>
    <t>lu***07</t>
  </si>
  <si>
    <t>Wo***ow</t>
  </si>
  <si>
    <t>St***19</t>
  </si>
  <si>
    <t>Vr***13</t>
  </si>
  <si>
    <t>Da***44</t>
  </si>
  <si>
    <t>ve***12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</si>
</sst>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2" fillId="0" borderId="1" xfId="0" applyFont="1" applyBorder="1"/>
    <xf numFmtId="0" fontId="2" fillId="0" borderId="2" xfId="0" applyFont="1" applyBorder="1"/>
    <xf numFmtId="164" fontId="2" fillId="2" borderId="2" xfId="0" applyNumberFormat="1" applyFont="1" applyFill="1" applyBorder="1"/>
    <xf numFmtId="49" fontId="2" fillId="2" borderId="2" xfId="0" applyNumberFormat="1" applyFont="1" applyFill="1" applyBorder="1"/>
    <xf numFmtId="164" fontId="2" fillId="0" borderId="2" xfId="0" applyNumberFormat="1" applyFont="1" applyBorder="1"/>
    <xf numFmtId="49" fontId="2" fillId="0" borderId="2" xfId="0" applyNumberFormat="1" applyFont="1" applyBorder="1"/>
    <xf numFmtId="0" fontId="2" fillId="2" borderId="4" xfId="0" applyFont="1" applyFill="1" applyBorder="1"/>
    <xf numFmtId="0" fontId="2" fillId="2" borderId="5" xfId="0" applyFont="1" applyFill="1" applyBorder="1"/>
    <xf numFmtId="164" fontId="2" fillId="2" borderId="5" xfId="0" applyNumberFormat="1" applyFont="1" applyFill="1" applyBorder="1"/>
    <xf numFmtId="49" fontId="2" fillId="2" borderId="5" xfId="0" applyNumberFormat="1" applyFont="1" applyFill="1" applyBorder="1"/>
    <xf numFmtId="0" fontId="2" fillId="2" borderId="0" xfId="0" applyFont="1" applyFill="1"/>
    <xf numFmtId="0" fontId="1" fillId="0" borderId="3" xfId="0" applyFont="1" applyBorder="1"/>
  </cellXfs>
  <cellStyles count="1">
    <cellStyle name="Normální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"/>
        <scheme val="none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"/>
        <scheme val="none"/>
      </font>
      <numFmt numFmtId="164" formatCode="yyyy\-mm\-dd\ hh:mm:ss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1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B588AC-8F5D-48CD-9307-92ED599AE8CB}" name="Tabulka2" displayName="Tabulka2" ref="A1:F11" totalsRowShown="0" headerRowDxfId="1" dataDxfId="2" headerRowBorderDxfId="9" tableBorderDxfId="10" totalsRowBorderDxfId="8">
  <autoFilter ref="A1:F11" xr:uid="{8CB588AC-8F5D-48CD-9307-92ED599AE8CB}"/>
  <sortState xmlns:xlrd2="http://schemas.microsoft.com/office/spreadsheetml/2017/richdata2" ref="A2:F11">
    <sortCondition descending="1" ref="F1:F11"/>
  </sortState>
  <tableColumns count="6">
    <tableColumn id="1" xr3:uid="{22358210-D3E4-4A53-861D-0400E568B2DF}" name="BET" dataDxfId="7"/>
    <tableColumn id="2" xr3:uid="{2AC39FD7-86E7-45D8-AA72-89F802DD3FE4}" name="WIN" dataDxfId="6"/>
    <tableColumn id="3" xr3:uid="{5524EB91-52C2-4FCD-BB9A-04A5951D5278}" name="Čas spinu" dataDxfId="5"/>
    <tableColumn id="4" xr3:uid="{BE731226-6269-476B-B0AE-EC417695EF8F}" name="Hráč" dataDxfId="4"/>
    <tableColumn id="5" xr3:uid="{451634EF-469B-477B-A0C7-E2A4D1829234}" name="Hra" dataDxfId="3"/>
    <tableColumn id="7" xr3:uid="{D3C40C55-ED1C-4BB0-B638-00DBDD02AC40}" name="násobitch" dataDxfId="0">
      <calculatedColumnFormula>Tabulka2[[#This Row],[WIN]]/Tabulka2[[#This Row],[BET]]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0"/>
  <sheetViews>
    <sheetView tabSelected="1" zoomScaleNormal="100" workbookViewId="0">
      <selection activeCell="G3" sqref="G3"/>
    </sheetView>
  </sheetViews>
  <sheetFormatPr defaultRowHeight="14.4" x14ac:dyDescent="0.25"/>
  <cols>
    <col min="1" max="2" width="11.44140625"/>
    <col min="3" max="3" width="18.21875" bestFit="1" customWidth="1"/>
    <col min="4" max="4" width="8.44140625" bestFit="1" customWidth="1"/>
    <col min="5" max="5" width="34.6640625" bestFit="1" customWidth="1"/>
    <col min="6" max="1023" width="11.44140625"/>
  </cols>
  <sheetData>
    <row r="1" spans="1:6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5" t="s">
        <v>15</v>
      </c>
    </row>
    <row r="2" spans="1:6" ht="13.2" x14ac:dyDescent="0.25">
      <c r="A2" s="2">
        <v>10</v>
      </c>
      <c r="B2" s="3">
        <v>14575</v>
      </c>
      <c r="C2" s="6">
        <v>46147.830173611001</v>
      </c>
      <c r="D2" s="7" t="s">
        <v>16</v>
      </c>
      <c r="E2" s="7" t="s">
        <v>11</v>
      </c>
      <c r="F2" s="14">
        <f>Tabulka2[[#This Row],[WIN]]/Tabulka2[[#This Row],[BET]]</f>
        <v>1457.5</v>
      </c>
    </row>
    <row r="3" spans="1:6" ht="13.2" x14ac:dyDescent="0.25">
      <c r="A3" s="4">
        <v>10</v>
      </c>
      <c r="B3" s="5">
        <v>13500</v>
      </c>
      <c r="C3" s="8">
        <v>46151.126979166998</v>
      </c>
      <c r="D3" s="9" t="s">
        <v>17</v>
      </c>
      <c r="E3" s="9" t="s">
        <v>12</v>
      </c>
      <c r="F3" s="14">
        <f>Tabulka2[[#This Row],[WIN]]/Tabulka2[[#This Row],[BET]]</f>
        <v>1350</v>
      </c>
    </row>
    <row r="4" spans="1:6" ht="13.2" x14ac:dyDescent="0.25">
      <c r="A4" s="5">
        <v>8</v>
      </c>
      <c r="B4" s="5">
        <v>9604</v>
      </c>
      <c r="C4" s="8">
        <v>46152.510752315</v>
      </c>
      <c r="D4" s="9" t="s">
        <v>25</v>
      </c>
      <c r="E4" s="9" t="s">
        <v>14</v>
      </c>
      <c r="F4" s="14">
        <f>Tabulka2[[#This Row],[WIN]]/Tabulka2[[#This Row],[BET]]</f>
        <v>1200.5</v>
      </c>
    </row>
    <row r="5" spans="1:6" ht="13.2" x14ac:dyDescent="0.25">
      <c r="A5" s="2">
        <v>10</v>
      </c>
      <c r="B5" s="3">
        <v>10446</v>
      </c>
      <c r="C5" s="6">
        <v>46151.853831018998</v>
      </c>
      <c r="D5" s="7" t="s">
        <v>18</v>
      </c>
      <c r="E5" s="7" t="s">
        <v>7</v>
      </c>
      <c r="F5" s="14">
        <f>Tabulka2[[#This Row],[WIN]]/Tabulka2[[#This Row],[BET]]</f>
        <v>1044.5999999999999</v>
      </c>
    </row>
    <row r="6" spans="1:6" ht="13.2" x14ac:dyDescent="0.25">
      <c r="A6" s="4">
        <v>150</v>
      </c>
      <c r="B6" s="5">
        <v>150000</v>
      </c>
      <c r="C6" s="8">
        <v>46149.900821759002</v>
      </c>
      <c r="D6" s="9" t="s">
        <v>19</v>
      </c>
      <c r="E6" s="9" t="s">
        <v>6</v>
      </c>
      <c r="F6" s="14">
        <f>Tabulka2[[#This Row],[WIN]]/Tabulka2[[#This Row],[BET]]</f>
        <v>1000</v>
      </c>
    </row>
    <row r="7" spans="1:6" ht="13.2" x14ac:dyDescent="0.25">
      <c r="A7" s="2">
        <v>50</v>
      </c>
      <c r="B7" s="3">
        <v>50000</v>
      </c>
      <c r="C7" s="6">
        <v>46149.682939815</v>
      </c>
      <c r="D7" s="7" t="s">
        <v>20</v>
      </c>
      <c r="E7" s="7" t="s">
        <v>8</v>
      </c>
      <c r="F7" s="14">
        <f>Tabulka2[[#This Row],[WIN]]/Tabulka2[[#This Row],[BET]]</f>
        <v>1000</v>
      </c>
    </row>
    <row r="8" spans="1:6" ht="13.2" x14ac:dyDescent="0.25">
      <c r="A8" s="4">
        <v>10</v>
      </c>
      <c r="B8" s="5">
        <v>10000</v>
      </c>
      <c r="C8" s="8">
        <v>46152.553229167002</v>
      </c>
      <c r="D8" s="9" t="s">
        <v>21</v>
      </c>
      <c r="E8" s="9" t="s">
        <v>10</v>
      </c>
      <c r="F8" s="14">
        <f>Tabulka2[[#This Row],[WIN]]/Tabulka2[[#This Row],[BET]]</f>
        <v>1000</v>
      </c>
    </row>
    <row r="9" spans="1:6" ht="13.2" x14ac:dyDescent="0.25">
      <c r="A9" s="2">
        <v>30</v>
      </c>
      <c r="B9" s="3">
        <v>29160</v>
      </c>
      <c r="C9" s="6">
        <v>46150.840787036999</v>
      </c>
      <c r="D9" s="7" t="s">
        <v>22</v>
      </c>
      <c r="E9" s="7" t="s">
        <v>9</v>
      </c>
      <c r="F9" s="14">
        <f>Tabulka2[[#This Row],[WIN]]/Tabulka2[[#This Row],[BET]]</f>
        <v>972</v>
      </c>
    </row>
    <row r="10" spans="1:6" ht="13.2" x14ac:dyDescent="0.25">
      <c r="A10" s="4">
        <v>20</v>
      </c>
      <c r="B10" s="5">
        <v>13280</v>
      </c>
      <c r="C10" s="8">
        <v>46150.008472221998</v>
      </c>
      <c r="D10" s="9" t="s">
        <v>23</v>
      </c>
      <c r="E10" s="9" t="s">
        <v>13</v>
      </c>
      <c r="F10" s="14">
        <f>Tabulka2[[#This Row],[WIN]]/Tabulka2[[#This Row],[BET]]</f>
        <v>664</v>
      </c>
    </row>
    <row r="11" spans="1:6" ht="13.2" x14ac:dyDescent="0.25">
      <c r="A11" s="10">
        <v>500</v>
      </c>
      <c r="B11" s="11">
        <v>284500</v>
      </c>
      <c r="C11" s="12">
        <v>46152.855590277999</v>
      </c>
      <c r="D11" s="13" t="s">
        <v>24</v>
      </c>
      <c r="E11" s="13" t="s">
        <v>5</v>
      </c>
      <c r="F11" s="14">
        <f>Tabulka2[[#This Row],[WIN]]/Tabulka2[[#This Row],[BET]]</f>
        <v>569</v>
      </c>
    </row>
    <row r="12" spans="1:6" ht="13.2" x14ac:dyDescent="0.25"/>
    <row r="13" spans="1:6" ht="13.2" x14ac:dyDescent="0.25"/>
    <row r="14" spans="1:6" ht="13.2" x14ac:dyDescent="0.25"/>
    <row r="15" spans="1:6" ht="13.2" x14ac:dyDescent="0.25"/>
    <row r="16" spans="1:6" ht="13.2" x14ac:dyDescent="0.25"/>
    <row r="17" ht="13.2" x14ac:dyDescent="0.25"/>
    <row r="18" ht="13.2" x14ac:dyDescent="0.25"/>
    <row r="19" ht="13.2" x14ac:dyDescent="0.25"/>
    <row r="20" ht="13.2" x14ac:dyDescent="0.25"/>
    <row r="21" ht="13.2" x14ac:dyDescent="0.25"/>
    <row r="22" ht="13.2" x14ac:dyDescent="0.25"/>
    <row r="23" ht="13.2" x14ac:dyDescent="0.25"/>
    <row r="24" ht="13.2" x14ac:dyDescent="0.25"/>
    <row r="25" ht="13.2" x14ac:dyDescent="0.25"/>
    <row r="26" ht="13.2" x14ac:dyDescent="0.25"/>
    <row r="27" ht="13.2" x14ac:dyDescent="0.25"/>
    <row r="28" ht="13.2" x14ac:dyDescent="0.25"/>
    <row r="29" ht="13.2" x14ac:dyDescent="0.25"/>
    <row r="30" ht="13.2" x14ac:dyDescent="0.25"/>
    <row r="31" ht="13.2" x14ac:dyDescent="0.25"/>
    <row r="32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80" ht="13.2" x14ac:dyDescent="0.25"/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Seznam nejvyšších výher</dc:title>
  <dc:subject/>
  <dc:creator/>
  <dc:description/>
  <cp:lastModifiedBy>Lukas B</cp:lastModifiedBy>
  <cp:revision>0</cp:revision>
  <dcterms:created xsi:type="dcterms:W3CDTF">2026-05-11T06:54:46Z</dcterms:created>
  <dcterms:modified xsi:type="dcterms:W3CDTF">2026-05-11T05:03:06Z</dcterms:modified>
</cp:coreProperties>
</file>